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模板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10" fontId="2" fillId="4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3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时间</t>
        </is>
      </c>
      <c r="B1" s="2" t="inlineStr"/>
      <c r="C1" s="3" t="inlineStr">
        <is>
          <t>2026/8/12</t>
        </is>
      </c>
      <c r="D1" s="4" t="n"/>
      <c r="E1" s="4" t="n"/>
      <c r="F1" s="4" t="n"/>
      <c r="G1" s="4" t="n"/>
      <c r="H1" s="5" t="n"/>
    </row>
    <row r="2" ht="28" customHeight="1">
      <c r="A2" s="1" t="inlineStr">
        <is>
          <t>店铺</t>
        </is>
      </c>
      <c r="B2" s="2" t="inlineStr"/>
      <c r="C2" s="3" t="inlineStr">
        <is>
          <t>汇总</t>
        </is>
      </c>
      <c r="D2" s="6" t="inlineStr">
        <is>
          <t>隆泽堂医药健康大药房</t>
        </is>
      </c>
      <c r="E2" s="6" t="inlineStr">
        <is>
          <t>隆泽堂药品健康大药房</t>
        </is>
      </c>
      <c r="F2" s="6" t="inlineStr">
        <is>
          <t>若芬医药健康大药房</t>
        </is>
      </c>
      <c r="G2" s="6" t="inlineStr">
        <is>
          <t>若芬药品健康大药房</t>
        </is>
      </c>
      <c r="H2" s="6" t="inlineStr">
        <is>
          <t>若芬大药房专营店</t>
        </is>
      </c>
    </row>
    <row r="3" ht="28" customHeight="1">
      <c r="A3" s="1" t="inlineStr">
        <is>
          <t>总单量</t>
        </is>
      </c>
      <c r="B3" s="2" t="inlineStr"/>
      <c r="C3" s="7">
        <f>SUM(D3:H3)</f>
        <v/>
      </c>
      <c r="D3" s="8" t="n">
        <v>67</v>
      </c>
      <c r="E3" s="8" t="n">
        <v>24</v>
      </c>
      <c r="F3" s="8" t="n">
        <v>31</v>
      </c>
      <c r="G3" s="8" t="n">
        <v>61</v>
      </c>
      <c r="H3" s="8" t="n">
        <v>0</v>
      </c>
    </row>
    <row r="4" ht="28" customHeight="1">
      <c r="A4" s="1" t="inlineStr">
        <is>
          <t>总支付金额</t>
        </is>
      </c>
      <c r="B4" s="2" t="inlineStr"/>
      <c r="C4" s="9">
        <f>SUM(D4:H4)</f>
        <v/>
      </c>
      <c r="D4" s="10" t="n">
        <v>1995.79</v>
      </c>
      <c r="E4" s="10" t="n">
        <v>707.14</v>
      </c>
      <c r="F4" s="10" t="n">
        <v>1201.11</v>
      </c>
      <c r="G4" s="10" t="n">
        <v>2151.16</v>
      </c>
      <c r="H4" s="10" t="n">
        <v>0</v>
      </c>
    </row>
    <row r="5" ht="28" customHeight="1">
      <c r="A5" s="1" t="inlineStr">
        <is>
          <t>产品成本</t>
        </is>
      </c>
      <c r="B5" s="2" t="inlineStr"/>
      <c r="C5" s="9">
        <f>SUM(D5:H5)</f>
        <v/>
      </c>
      <c r="D5" s="10" t="n">
        <v>606.42</v>
      </c>
      <c r="E5" s="10" t="n">
        <v>163.35</v>
      </c>
      <c r="F5" s="10" t="n">
        <v>156.97</v>
      </c>
      <c r="G5" s="10" t="n">
        <v>418.66</v>
      </c>
      <c r="H5" s="10" t="n">
        <v>0</v>
      </c>
    </row>
    <row r="6" ht="28" customHeight="1">
      <c r="A6" s="1" t="inlineStr">
        <is>
          <t>推广费用</t>
        </is>
      </c>
      <c r="B6" s="2" t="inlineStr"/>
      <c r="C6" s="9">
        <f>SUM(D6:H6)</f>
        <v/>
      </c>
      <c r="D6" s="10" t="n">
        <v>962.61</v>
      </c>
      <c r="E6" s="10" t="n">
        <v>359.8</v>
      </c>
      <c r="F6" s="10" t="n">
        <v>687.86</v>
      </c>
      <c r="G6" s="10" t="n">
        <v>1253.52</v>
      </c>
      <c r="H6" s="10" t="n">
        <v>0</v>
      </c>
    </row>
    <row r="7" ht="28" customHeight="1">
      <c r="A7" s="1" t="inlineStr">
        <is>
          <t>产品运费</t>
        </is>
      </c>
      <c r="B7" s="2" t="inlineStr"/>
      <c r="C7" s="9">
        <f>SUM(D7:H7)</f>
        <v/>
      </c>
      <c r="D7" s="11" t="inlineStr">
        <is>
          <t>D7=D4*0.09</t>
        </is>
      </c>
      <c r="E7" s="11" t="inlineStr">
        <is>
          <t>E7=E4*0.09</t>
        </is>
      </c>
      <c r="F7" s="11" t="inlineStr">
        <is>
          <t>F7=F4*0.09</t>
        </is>
      </c>
      <c r="G7" s="11" t="inlineStr">
        <is>
          <t>G7=G4*0.09</t>
        </is>
      </c>
      <c r="H7" s="11" t="inlineStr">
        <is>
          <t>H7=H4*0.09</t>
        </is>
      </c>
    </row>
    <row r="8" ht="28" customHeight="1">
      <c r="A8" s="1" t="inlineStr">
        <is>
          <t>平台佣金</t>
        </is>
      </c>
      <c r="B8" s="2" t="inlineStr"/>
      <c r="C8" s="9">
        <f>SUM(D8:H8)</f>
        <v/>
      </c>
      <c r="D8" s="11" t="inlineStr">
        <is>
          <t>D8=D4*0.006</t>
        </is>
      </c>
      <c r="E8" s="11" t="inlineStr">
        <is>
          <t>E8=E4*0.006</t>
        </is>
      </c>
      <c r="F8" s="11" t="inlineStr">
        <is>
          <t>F8=F4*0.006</t>
        </is>
      </c>
      <c r="G8" s="11" t="inlineStr">
        <is>
          <t>G8=G4*0.006</t>
        </is>
      </c>
      <c r="H8" s="11" t="inlineStr">
        <is>
          <t>H8=H4*0.006</t>
        </is>
      </c>
    </row>
    <row r="9" ht="28" customHeight="1">
      <c r="A9" s="1" t="inlineStr">
        <is>
          <t>电商税3%</t>
        </is>
      </c>
      <c r="B9" s="2" t="inlineStr"/>
      <c r="C9" s="9">
        <f>SUM(D9:H9)</f>
        <v/>
      </c>
      <c r="D9" s="11" t="inlineStr">
        <is>
          <t>D9=D4*0.03</t>
        </is>
      </c>
      <c r="E9" s="11" t="inlineStr">
        <is>
          <t>E9=E4*0.03</t>
        </is>
      </c>
      <c r="F9" s="11" t="inlineStr">
        <is>
          <t>F9=F4*0.03</t>
        </is>
      </c>
      <c r="G9" s="11" t="inlineStr">
        <is>
          <t>G9=G4*0.03</t>
        </is>
      </c>
      <c r="H9" s="11" t="inlineStr">
        <is>
          <t>H9=H4*0.03</t>
        </is>
      </c>
    </row>
    <row r="10" ht="28" customHeight="1">
      <c r="A10" s="1" t="inlineStr">
        <is>
          <t>收入</t>
        </is>
      </c>
      <c r="B10" s="2" t="inlineStr"/>
      <c r="C10" s="12">
        <f>SUM(D10:H10)</f>
        <v/>
      </c>
      <c r="D10" s="13">
        <f>D4-D5-D6-D7-D8-D9</f>
        <v/>
      </c>
      <c r="E10" s="13">
        <f>E4-E5-E6-E7-E8-E9</f>
        <v/>
      </c>
      <c r="F10" s="13">
        <f>F4-F5-F6-F7-F8-F9</f>
        <v/>
      </c>
      <c r="G10" s="13">
        <f>G4-G5-G6-G7-G8-G9</f>
        <v/>
      </c>
      <c r="H10" s="13">
        <f>H4-H5-H6-H7-H8-H9</f>
        <v/>
      </c>
    </row>
    <row r="11" ht="28" customHeight="1">
      <c r="A11" s="1" t="inlineStr">
        <is>
          <t>推广费比</t>
        </is>
      </c>
      <c r="B11" s="2" t="inlineStr"/>
      <c r="C11" s="14">
        <f>IF(C4=0,"",C6/C4)</f>
        <v/>
      </c>
      <c r="D11" s="15">
        <f>IF(D4=0,"",D6/D4)</f>
        <v/>
      </c>
      <c r="E11" s="15">
        <f>IF(E4=0,"",E6/E4)</f>
        <v/>
      </c>
      <c r="F11" s="15">
        <f>IF(F4=0,"",F6/F4)</f>
        <v/>
      </c>
      <c r="G11" s="15">
        <f>IF(G4=0,"",G6/G4)</f>
        <v/>
      </c>
      <c r="H11" s="15">
        <f>IF(H4=0,"",H6/H4)</f>
        <v/>
      </c>
    </row>
    <row r="12" ht="28" customHeight="1">
      <c r="A12" s="1" t="inlineStr">
        <is>
          <t>毛利率</t>
        </is>
      </c>
      <c r="B12" s="2" t="inlineStr"/>
      <c r="C12" s="14">
        <f>IF(C4=0,"",C10/C4)</f>
        <v/>
      </c>
      <c r="D12" s="15">
        <f>IF(D4=0,"",D10/D4)</f>
        <v/>
      </c>
      <c r="E12" s="15">
        <f>IF(E4=0,"",E10/E4)</f>
        <v/>
      </c>
      <c r="F12" s="15">
        <f>IF(F4=0,"",F10/F4)</f>
        <v/>
      </c>
      <c r="G12" s="15">
        <f>IF(G4=0,"",G10/G4)</f>
        <v/>
      </c>
      <c r="H12" s="15">
        <f>IF(H4=0,"",H10/H4)</f>
        <v/>
      </c>
    </row>
  </sheetData>
  <mergeCells count="1"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2" customHeight="1">
      <c r="A1" s="16" t="inlineStr">
        <is>
          <t>📊 医药电商日报自动化模板 - 使用说明</t>
        </is>
      </c>
    </row>
    <row r="2" ht="22" customHeight="1">
      <c r="A2" s="17" t="inlineStr"/>
    </row>
    <row r="3" ht="22" customHeight="1">
      <c r="A3" s="16" t="inlineStr">
        <is>
          <t>【每日操作步骤】</t>
        </is>
      </c>
    </row>
    <row r="4" ht="22" customHeight="1">
      <c r="A4" s="17" t="inlineStr">
        <is>
          <t>1. 修改C1单元格的日期为当天日期</t>
        </is>
      </c>
    </row>
    <row r="5" ht="22" customHeight="1">
      <c r="A5" s="17" t="inlineStr">
        <is>
          <t>2. 只需要填写4行原始数据（白色行）：</t>
        </is>
      </c>
    </row>
    <row r="6" ht="22" customHeight="1">
      <c r="A6" s="17" t="inlineStr">
        <is>
          <t xml:space="preserve">   - 第3行：总单量</t>
        </is>
      </c>
    </row>
    <row r="7" ht="22" customHeight="1">
      <c r="A7" s="17" t="inlineStr">
        <is>
          <t xml:space="preserve">   - 第4行：总支付金额</t>
        </is>
      </c>
    </row>
    <row r="8" ht="22" customHeight="1">
      <c r="A8" s="17" t="inlineStr">
        <is>
          <t xml:space="preserve">   - 第5行：产品成本</t>
        </is>
      </c>
    </row>
    <row r="9" ht="22" customHeight="1">
      <c r="A9" s="17" t="inlineStr">
        <is>
          <t xml:space="preserve">   - 第6行：推广费用</t>
        </is>
      </c>
    </row>
    <row r="10" ht="22" customHeight="1">
      <c r="A10" s="17" t="inlineStr">
        <is>
          <t>3. 以下数据自动计算（无需手动填写）：</t>
        </is>
      </c>
    </row>
    <row r="11" ht="22" customHeight="1">
      <c r="A11" s="17" t="inlineStr">
        <is>
          <t xml:space="preserve">   - 第7行：产品运费（按支付金额9%计算，可调整公式）</t>
        </is>
      </c>
    </row>
    <row r="12" ht="22" customHeight="1">
      <c r="A12" s="17" t="inlineStr">
        <is>
          <t xml:space="preserve">   - 第8行：平台佣金（按支付金额0.6%计算，可调整公式）</t>
        </is>
      </c>
    </row>
    <row r="13" ht="22" customHeight="1">
      <c r="A13" s="17" t="inlineStr">
        <is>
          <t xml:space="preserve">   - 第9行：电商税3%</t>
        </is>
      </c>
    </row>
    <row r="14" ht="22" customHeight="1">
      <c r="A14" s="17" t="inlineStr">
        <is>
          <t xml:space="preserve">   - 第10行：收入（黄色）= 总支付金额 - 所有成本费用</t>
        </is>
      </c>
    </row>
    <row r="15" ht="22" customHeight="1">
      <c r="A15" s="17" t="inlineStr">
        <is>
          <t xml:space="preserve">   - 第11行：推广费比 = 推广费用 / 总支付金额</t>
        </is>
      </c>
    </row>
    <row r="16" ht="22" customHeight="1">
      <c r="A16" s="17" t="inlineStr">
        <is>
          <t xml:space="preserve">   - 第12行：毛利率 = 收入 / 总支付金额</t>
        </is>
      </c>
    </row>
    <row r="17" ht="22" customHeight="1">
      <c r="A17" s="17" t="inlineStr">
        <is>
          <t>4. 汇总列自动求和，不需要手动算</t>
        </is>
      </c>
    </row>
    <row r="18" ht="22" customHeight="1">
      <c r="A18" s="17" t="inlineStr"/>
    </row>
    <row r="19" ht="22" customHeight="1">
      <c r="A19" s="16" t="inlineStr">
        <is>
          <t>【参数调整】</t>
        </is>
      </c>
    </row>
    <row r="20" ht="22" customHeight="1">
      <c r="A20" s="17" t="inlineStr">
        <is>
          <t>如果运费比例或佣金比例有变化，直接修改对应行的公式即可：</t>
        </is>
      </c>
    </row>
    <row r="21" ht="22" customHeight="1">
      <c r="A21" s="17" t="inlineStr">
        <is>
          <t xml:space="preserve">  运费 = 总支付金额 × 比例</t>
        </is>
      </c>
    </row>
    <row r="22" ht="22" customHeight="1">
      <c r="A22" s="17" t="inlineStr">
        <is>
          <t xml:space="preserve">  佣金 = 总支付金额 × 比例</t>
        </is>
      </c>
    </row>
    <row r="23" ht="22" customHeight="1">
      <c r="A23" s="17" t="inlineStr">
        <is>
          <t xml:space="preserve">  电商税 = 总支付金额 × 3%</t>
        </is>
      </c>
    </row>
    <row r="24" ht="22" customHeight="1">
      <c r="A24" s="17" t="inlineStr"/>
    </row>
    <row r="25" ht="22" customHeight="1">
      <c r="A25" s="16" t="inlineStr">
        <is>
          <t>【颜色说明】</t>
        </is>
      </c>
    </row>
    <row r="26" ht="22" customHeight="1">
      <c r="A26" s="17" t="inlineStr">
        <is>
          <t>🟢 绿色 = 表头 / 指标名</t>
        </is>
      </c>
    </row>
    <row r="27" ht="22" customHeight="1">
      <c r="A27" s="17" t="inlineStr">
        <is>
          <t>⚪ 白色 = 需要手动填写的原始数据</t>
        </is>
      </c>
    </row>
    <row r="28" ht="22" customHeight="1">
      <c r="A28" s="17" t="inlineStr">
        <is>
          <t>🟡 黄色 = 核心结果（收入、费率、利润率）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2026-08-13T14:19:32Z</dcterms:created>
  <dcterms:modified xmlns:dcterms="http://purl.org/dc/terms/" xmlns:xsi="http://www.w3.org/2001/XMLSchema-instance" xsi:type="dcterms:W3CDTF">2026-08-13T14:19:33Z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656854460406668_0-drive/213587959515112845/关于我/医药电商日报模板_自动计算版.xlsx","ReservedCode1":"","ContentPropagator":"001191110102MACQD9K64028705","PropagateID":"656854460406668#1786683185800","ReservedCode2":""}</vt:lpwstr>
  </property>
</Properties>
</file>